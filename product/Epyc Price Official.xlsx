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<sst xmlns="http://schemas.openxmlformats.org/spreadsheetml/2006/main" count="1" uniqueCount="1">
  <si>
    <t>Lưu ý: Giá có thể biến động tùy vào thị trường. Khi các bạn đặt mình sẽ check với shop để xác nhận giá và có hàng không nha. 
Để xác nhận các bạn cọc giúp mình 50% giá trị đơn hàng nha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</si>
</sst>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
  </numFmts>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Border="1" applyFill="1" applyFont="1"/>
    <xf borderId="0" fillId="0" fontId="2" numFmtId="0" xfId="0" applyAlignment="1" applyFont="1">
      <alignment readingOrder="0"/>
    </xf>
    <xf borderId="1" fillId="0" fontId="2" numFmtId="0" xfId="0" applyBorder="1" applyFont="1"/>
    <xf borderId="1" fillId="0" fontId="2" numFmtId="164" xfId="0" applyBorder="1" applyFont="1" applyNumberForma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4" max="4" width="16.63"/>
    <col customWidth="1" min="12" max="12" width="141.25"/>
  </cols>
  <sheetData>
    <row r="1">
      <c r="A1" s="1" t="str">
        <f>IFERROR(__xludf.DUMMYFUNCTION("IMPORTRANGE(""https://docs.google.com/spreadsheets/d/1xbvXgKnmD-StLbZTJeUm5lTku0XThj57sDc1K6bHZMU"", ""Sheet1!A1:H30"")"),"No")</f>
        <v>No</v>
      </c>
      <c r="B1" s="1" t="str">
        <f>IFERROR(__xludf.DUMMYFUNCTION("""COMPUTED_VALUE"""),"Type")</f>
        <v>Type</v>
      </c>
      <c r="C1" s="1" t="str">
        <f>IFERROR(__xludf.DUMMYFUNCTION("""COMPUTED_VALUE"""),"Generation/Brand")</f>
        <v>Generation/Brand</v>
      </c>
      <c r="D1" s="1" t="str">
        <f>IFERROR(__xludf.DUMMYFUNCTION("""COMPUTED_VALUE"""),"SKU")</f>
        <v>SKU</v>
      </c>
      <c r="E1" s="1" t="str">
        <f>IFERROR(__xludf.DUMMYFUNCTION("""COMPUTED_VALUE"""),"Core/Thread")</f>
        <v>Core/Thread</v>
      </c>
      <c r="F1" s="1" t="str">
        <f>IFERROR(__xludf.DUMMYFUNCTION("""COMPUTED_VALUE"""),"L3 Cache")</f>
        <v>L3 Cache</v>
      </c>
      <c r="G1" s="1" t="str">
        <f>IFERROR(__xludf.DUMMYFUNCTION("""COMPUTED_VALUE"""),"Base")</f>
        <v>Base</v>
      </c>
      <c r="H1" s="1" t="str">
        <f>IFERROR(__xludf.DUMMYFUNCTION("""COMPUTED_VALUE"""),"Boost")</f>
        <v>Boost</v>
      </c>
      <c r="I1" s="1" t="str">
        <f>IFERROR(__xludf.DUMMYFUNCTION("IMPORTRANGE(""https://docs.google.com/spreadsheets/d/1xbvXgKnmD-StLbZTJeUm5lTku0XThj57sDc1K6bHZMU"", ""Sheet1!J1:K30"")"),"VND")</f>
        <v>VND</v>
      </c>
      <c r="J1" s="1" t="str">
        <f>IFERROR(__xludf.DUMMYFUNCTION("""COMPUTED_VALUE"""),"Warranty")</f>
        <v>Warranty</v>
      </c>
      <c r="L1" s="2" t="s">
        <v>0</v>
      </c>
    </row>
    <row r="2">
      <c r="A2" s="3">
        <f>IFERROR(__xludf.DUMMYFUNCTION("""COMPUTED_VALUE"""),1.0)</f>
        <v>1</v>
      </c>
      <c r="B2" s="3" t="str">
        <f>IFERROR(__xludf.DUMMYFUNCTION("""COMPUTED_VALUE"""),"CPU")</f>
        <v>CPU</v>
      </c>
      <c r="C2" s="3" t="str">
        <f>IFERROR(__xludf.DUMMYFUNCTION("""COMPUTED_VALUE"""),"Zen 2")</f>
        <v>Zen 2</v>
      </c>
      <c r="D2" s="3" t="str">
        <f>IFERROR(__xludf.DUMMYFUNCTION("""COMPUTED_VALUE"""),"Epyc 7F32")</f>
        <v>Epyc 7F32</v>
      </c>
      <c r="E2" s="3" t="str">
        <f>IFERROR(__xludf.DUMMYFUNCTION("""COMPUTED_VALUE"""),"8C / 16T")</f>
        <v>8C / 16T</v>
      </c>
      <c r="F2" s="3" t="str">
        <f>IFERROR(__xludf.DUMMYFUNCTION("""COMPUTED_VALUE"""),"128 MB")</f>
        <v>128 MB</v>
      </c>
      <c r="G2" s="3" t="str">
        <f>IFERROR(__xludf.DUMMYFUNCTION("""COMPUTED_VALUE"""),"3.7 GHz")</f>
        <v>3.7 GHz</v>
      </c>
      <c r="H2" s="3" t="str">
        <f>IFERROR(__xludf.DUMMYFUNCTION("""COMPUTED_VALUE"""),"3.9 GHz")</f>
        <v>3.9 GHz</v>
      </c>
      <c r="I2" s="4">
        <f>IFERROR(__xludf.DUMMYFUNCTION("""COMPUTED_VALUE"""),3588000.0)</f>
        <v>3588000</v>
      </c>
      <c r="J2" s="3" t="str">
        <f>IFERROR(__xludf.DUMMYFUNCTION("""COMPUTED_VALUE"""),"1 year")</f>
        <v>1 year</v>
      </c>
    </row>
    <row r="3">
      <c r="A3" s="3">
        <f>IFERROR(__xludf.DUMMYFUNCTION("""COMPUTED_VALUE"""),2.0)</f>
        <v>2</v>
      </c>
      <c r="B3" s="3" t="str">
        <f>IFERROR(__xludf.DUMMYFUNCTION("""COMPUTED_VALUE"""),"CPU")</f>
        <v>CPU</v>
      </c>
      <c r="C3" s="3" t="str">
        <f>IFERROR(__xludf.DUMMYFUNCTION("""COMPUTED_VALUE"""),"Zen 2")</f>
        <v>Zen 2</v>
      </c>
      <c r="D3" s="3" t="str">
        <f>IFERROR(__xludf.DUMMYFUNCTION("""COMPUTED_VALUE"""),"Epyc 7F52")</f>
        <v>Epyc 7F52</v>
      </c>
      <c r="E3" s="3" t="str">
        <f>IFERROR(__xludf.DUMMYFUNCTION("""COMPUTED_VALUE"""),"16C / 32T")</f>
        <v>16C / 32T</v>
      </c>
      <c r="F3" s="3" t="str">
        <f>IFERROR(__xludf.DUMMYFUNCTION("""COMPUTED_VALUE"""),"256 MB")</f>
        <v>256 MB</v>
      </c>
      <c r="G3" s="3" t="str">
        <f>IFERROR(__xludf.DUMMYFUNCTION("""COMPUTED_VALUE"""),"3.5 GHz")</f>
        <v>3.5 GHz</v>
      </c>
      <c r="H3" s="3" t="str">
        <f>IFERROR(__xludf.DUMMYFUNCTION("""COMPUTED_VALUE"""),"3.9 GHz")</f>
        <v>3.9 GHz</v>
      </c>
      <c r="I3" s="4">
        <f>IFERROR(__xludf.DUMMYFUNCTION("""COMPUTED_VALUE"""),4420000.0)</f>
        <v>4420000</v>
      </c>
      <c r="J3" s="3" t="str">
        <f>IFERROR(__xludf.DUMMYFUNCTION("""COMPUTED_VALUE"""),"1 year")</f>
        <v>1 year</v>
      </c>
    </row>
    <row r="4">
      <c r="A4" s="3">
        <f>IFERROR(__xludf.DUMMYFUNCTION("""COMPUTED_VALUE"""),3.0)</f>
        <v>3</v>
      </c>
      <c r="B4" s="3" t="str">
        <f>IFERROR(__xludf.DUMMYFUNCTION("""COMPUTED_VALUE"""),"CPU")</f>
        <v>CPU</v>
      </c>
      <c r="C4" s="3" t="str">
        <f>IFERROR(__xludf.DUMMYFUNCTION("""COMPUTED_VALUE"""),"Zen 2")</f>
        <v>Zen 2</v>
      </c>
      <c r="D4" s="3" t="str">
        <f>IFERROR(__xludf.DUMMYFUNCTION("""COMPUTED_VALUE"""),"Epyc 7402")</f>
        <v>Epyc 7402</v>
      </c>
      <c r="E4" s="3" t="str">
        <f>IFERROR(__xludf.DUMMYFUNCTION("""COMPUTED_VALUE"""),"24C / 48T")</f>
        <v>24C / 48T</v>
      </c>
      <c r="F4" s="3" t="str">
        <f>IFERROR(__xludf.DUMMYFUNCTION("""COMPUTED_VALUE"""),"128 MB")</f>
        <v>128 MB</v>
      </c>
      <c r="G4" s="3" t="str">
        <f>IFERROR(__xludf.DUMMYFUNCTION("""COMPUTED_VALUE"""),"2.8 GHz")</f>
        <v>2.8 GHz</v>
      </c>
      <c r="H4" s="3" t="str">
        <f>IFERROR(__xludf.DUMMYFUNCTION("""COMPUTED_VALUE"""),"3.35 GHz")</f>
        <v>3.35 GHz</v>
      </c>
      <c r="I4" s="4">
        <f>IFERROR(__xludf.DUMMYFUNCTION("""COMPUTED_VALUE"""),3380000.0)</f>
        <v>3380000</v>
      </c>
      <c r="J4" s="3" t="str">
        <f>IFERROR(__xludf.DUMMYFUNCTION("""COMPUTED_VALUE"""),"1 year")</f>
        <v>1 year</v>
      </c>
    </row>
    <row r="5">
      <c r="A5" s="3">
        <f>IFERROR(__xludf.DUMMYFUNCTION("""COMPUTED_VALUE"""),4.0)</f>
        <v>4</v>
      </c>
      <c r="B5" s="3" t="str">
        <f>IFERROR(__xludf.DUMMYFUNCTION("""COMPUTED_VALUE"""),"CPU")</f>
        <v>CPU</v>
      </c>
      <c r="C5" s="3" t="str">
        <f>IFERROR(__xludf.DUMMYFUNCTION("""COMPUTED_VALUE"""),"Zen 2")</f>
        <v>Zen 2</v>
      </c>
      <c r="D5" s="3" t="str">
        <f>IFERROR(__xludf.DUMMYFUNCTION("""COMPUTED_VALUE"""),"Epyc 7532")</f>
        <v>Epyc 7532</v>
      </c>
      <c r="E5" s="3" t="str">
        <f>IFERROR(__xludf.DUMMYFUNCTION("""COMPUTED_VALUE"""),"32C / 64T")</f>
        <v>32C / 64T</v>
      </c>
      <c r="F5" s="3" t="str">
        <f>IFERROR(__xludf.DUMMYFUNCTION("""COMPUTED_VALUE"""),"256MB")</f>
        <v>256MB</v>
      </c>
      <c r="G5" s="3" t="str">
        <f>IFERROR(__xludf.DUMMYFUNCTION("""COMPUTED_VALUE"""),"2.4 GHz")</f>
        <v>2.4 GHz</v>
      </c>
      <c r="H5" s="3" t="str">
        <f>IFERROR(__xludf.DUMMYFUNCTION("""COMPUTED_VALUE"""),"3.3 GHz")</f>
        <v>3.3 GHz</v>
      </c>
      <c r="I5" s="4">
        <f>IFERROR(__xludf.DUMMYFUNCTION("""COMPUTED_VALUE"""),8320000.0)</f>
        <v>8320000</v>
      </c>
      <c r="J5" s="3" t="str">
        <f>IFERROR(__xludf.DUMMYFUNCTION("""COMPUTED_VALUE"""),"1 year")</f>
        <v>1 year</v>
      </c>
    </row>
    <row r="6">
      <c r="A6" s="3">
        <f>IFERROR(__xludf.DUMMYFUNCTION("""COMPUTED_VALUE"""),5.0)</f>
        <v>5</v>
      </c>
      <c r="B6" s="3" t="str">
        <f>IFERROR(__xludf.DUMMYFUNCTION("""COMPUTED_VALUE"""),"CPU")</f>
        <v>CPU</v>
      </c>
      <c r="C6" s="3" t="str">
        <f>IFERROR(__xludf.DUMMYFUNCTION("""COMPUTED_VALUE"""),"Zen 2")</f>
        <v>Zen 2</v>
      </c>
      <c r="D6" s="3" t="str">
        <f>IFERROR(__xludf.DUMMYFUNCTION("""COMPUTED_VALUE"""),"Epyc 7K62")</f>
        <v>Epyc 7K62</v>
      </c>
      <c r="E6" s="3" t="str">
        <f>IFERROR(__xludf.DUMMYFUNCTION("""COMPUTED_VALUE"""),"48C / 96T")</f>
        <v>48C / 96T</v>
      </c>
      <c r="F6" s="3" t="str">
        <f>IFERROR(__xludf.DUMMYFUNCTION("""COMPUTED_VALUE"""),"192MB")</f>
        <v>192MB</v>
      </c>
      <c r="G6" s="3" t="str">
        <f>IFERROR(__xludf.DUMMYFUNCTION("""COMPUTED_VALUE"""),"2.6 GHz")</f>
        <v>2.6 GHz</v>
      </c>
      <c r="H6" s="3" t="str">
        <f>IFERROR(__xludf.DUMMYFUNCTION("""COMPUTED_VALUE"""),"3.3 GHz")</f>
        <v>3.3 GHz</v>
      </c>
      <c r="I6" s="4">
        <f>IFERROR(__xludf.DUMMYFUNCTION("""COMPUTED_VALUE"""),9360000.0)</f>
        <v>9360000</v>
      </c>
      <c r="J6" s="3" t="str">
        <f>IFERROR(__xludf.DUMMYFUNCTION("""COMPUTED_VALUE"""),"1 year")</f>
        <v>1 year</v>
      </c>
    </row>
    <row r="7">
      <c r="A7" s="3">
        <f>IFERROR(__xludf.DUMMYFUNCTION("""COMPUTED_VALUE"""),6.0)</f>
        <v>6</v>
      </c>
      <c r="B7" s="3" t="str">
        <f>IFERROR(__xludf.DUMMYFUNCTION("""COMPUTED_VALUE"""),"CPU")</f>
        <v>CPU</v>
      </c>
      <c r="C7" s="3" t="str">
        <f>IFERROR(__xludf.DUMMYFUNCTION("""COMPUTED_VALUE"""),"Zen 2")</f>
        <v>Zen 2</v>
      </c>
      <c r="D7" s="3" t="str">
        <f>IFERROR(__xludf.DUMMYFUNCTION("""COMPUTED_VALUE"""),"Epyc 7642")</f>
        <v>Epyc 7642</v>
      </c>
      <c r="E7" s="3" t="str">
        <f>IFERROR(__xludf.DUMMYFUNCTION("""COMPUTED_VALUE"""),"48C / 96T")</f>
        <v>48C / 96T</v>
      </c>
      <c r="F7" s="3" t="str">
        <f>IFERROR(__xludf.DUMMYFUNCTION("""COMPUTED_VALUE"""),"256 MB")</f>
        <v>256 MB</v>
      </c>
      <c r="G7" s="3" t="str">
        <f>IFERROR(__xludf.DUMMYFUNCTION("""COMPUTED_VALUE"""),"2.3 GHz")</f>
        <v>2.3 GHz</v>
      </c>
      <c r="H7" s="3" t="str">
        <f>IFERROR(__xludf.DUMMYFUNCTION("""COMPUTED_VALUE"""),"3.3 GHz")</f>
        <v>3.3 GHz</v>
      </c>
      <c r="I7" s="4">
        <f>IFERROR(__xludf.DUMMYFUNCTION("""COMPUTED_VALUE"""),9620000.0)</f>
        <v>9620000</v>
      </c>
      <c r="J7" s="3" t="str">
        <f>IFERROR(__xludf.DUMMYFUNCTION("""COMPUTED_VALUE"""),"1 year")</f>
        <v>1 year</v>
      </c>
    </row>
    <row r="8">
      <c r="A8" s="3">
        <f>IFERROR(__xludf.DUMMYFUNCTION("""COMPUTED_VALUE"""),7.0)</f>
        <v>7</v>
      </c>
      <c r="B8" s="3" t="str">
        <f>IFERROR(__xludf.DUMMYFUNCTION("""COMPUTED_VALUE"""),"CPU")</f>
        <v>CPU</v>
      </c>
      <c r="C8" s="3" t="str">
        <f>IFERROR(__xludf.DUMMYFUNCTION("""COMPUTED_VALUE"""),"Zen 2")</f>
        <v>Zen 2</v>
      </c>
      <c r="D8" s="3" t="str">
        <f>IFERROR(__xludf.DUMMYFUNCTION("""COMPUTED_VALUE"""),"Epyc 7B12")</f>
        <v>Epyc 7B12</v>
      </c>
      <c r="E8" s="3" t="str">
        <f>IFERROR(__xludf.DUMMYFUNCTION("""COMPUTED_VALUE"""),"64C / 128T")</f>
        <v>64C / 128T</v>
      </c>
      <c r="F8" s="3" t="str">
        <f>IFERROR(__xludf.DUMMYFUNCTION("""COMPUTED_VALUE"""),"256 MB")</f>
        <v>256 MB</v>
      </c>
      <c r="G8" s="3" t="str">
        <f>IFERROR(__xludf.DUMMYFUNCTION("""COMPUTED_VALUE"""),"2.25 GHz")</f>
        <v>2.25 GHz</v>
      </c>
      <c r="H8" s="3" t="str">
        <f>IFERROR(__xludf.DUMMYFUNCTION("""COMPUTED_VALUE"""),"3.3 GHz")</f>
        <v>3.3 GHz</v>
      </c>
      <c r="I8" s="4">
        <f>IFERROR(__xludf.DUMMYFUNCTION("""COMPUTED_VALUE"""),1.56E7)</f>
        <v>15600000</v>
      </c>
      <c r="J8" s="3" t="str">
        <f>IFERROR(__xludf.DUMMYFUNCTION("""COMPUTED_VALUE"""),"1 year")</f>
        <v>1 year</v>
      </c>
    </row>
    <row r="9">
      <c r="A9" s="3">
        <f>IFERROR(__xludf.DUMMYFUNCTION("""COMPUTED_VALUE"""),8.0)</f>
        <v>8</v>
      </c>
      <c r="B9" s="3" t="str">
        <f>IFERROR(__xludf.DUMMYFUNCTION("""COMPUTED_VALUE"""),"CPU")</f>
        <v>CPU</v>
      </c>
      <c r="C9" s="3" t="str">
        <f>IFERROR(__xludf.DUMMYFUNCTION("""COMPUTED_VALUE"""),"Zen 3")</f>
        <v>Zen 3</v>
      </c>
      <c r="D9" s="3" t="str">
        <f>IFERROR(__xludf.DUMMYFUNCTION("""COMPUTED_VALUE"""),"Epyc 7663")</f>
        <v>Epyc 7663</v>
      </c>
      <c r="E9" s="3" t="str">
        <f>IFERROR(__xludf.DUMMYFUNCTION("""COMPUTED_VALUE"""),"56C / 112T")</f>
        <v>56C / 112T</v>
      </c>
      <c r="F9" s="3" t="str">
        <f>IFERROR(__xludf.DUMMYFUNCTION("""COMPUTED_VALUE"""),"256 MB")</f>
        <v>256 MB</v>
      </c>
      <c r="G9" s="3" t="str">
        <f>IFERROR(__xludf.DUMMYFUNCTION("""COMPUTED_VALUE"""),"2.0 GHz")</f>
        <v>2.0 GHz</v>
      </c>
      <c r="H9" s="3" t="str">
        <f>IFERROR(__xludf.DUMMYFUNCTION("""COMPUTED_VALUE"""),"3.5 GHz")</f>
        <v>3.5 GHz</v>
      </c>
      <c r="I9" s="4">
        <f>IFERROR(__xludf.DUMMYFUNCTION("""COMPUTED_VALUE"""),1.43E7)</f>
        <v>14300000</v>
      </c>
      <c r="J9" s="3" t="str">
        <f>IFERROR(__xludf.DUMMYFUNCTION("""COMPUTED_VALUE"""),"1 year")</f>
        <v>1 year</v>
      </c>
    </row>
    <row r="10">
      <c r="A10" s="3">
        <f>IFERROR(__xludf.DUMMYFUNCTION("""COMPUTED_VALUE"""),9.0)</f>
        <v>9</v>
      </c>
      <c r="B10" s="3" t="str">
        <f>IFERROR(__xludf.DUMMYFUNCTION("""COMPUTED_VALUE"""),"CPU")</f>
        <v>CPU</v>
      </c>
      <c r="C10" s="3" t="str">
        <f>IFERROR(__xludf.DUMMYFUNCTION("""COMPUTED_VALUE"""),"Zen 3")</f>
        <v>Zen 3</v>
      </c>
      <c r="D10" s="3" t="str">
        <f>IFERROR(__xludf.DUMMYFUNCTION("""COMPUTED_VALUE"""),"Epyc 7B13")</f>
        <v>Epyc 7B13</v>
      </c>
      <c r="E10" s="3" t="str">
        <f>IFERROR(__xludf.DUMMYFUNCTION("""COMPUTED_VALUE"""),"64C / 128T")</f>
        <v>64C / 128T</v>
      </c>
      <c r="F10" s="3" t="str">
        <f>IFERROR(__xludf.DUMMYFUNCTION("""COMPUTED_VALUE"""),"256 MB")</f>
        <v>256 MB</v>
      </c>
      <c r="G10" s="3" t="str">
        <f>IFERROR(__xludf.DUMMYFUNCTION("""COMPUTED_VALUE"""),"2.25 GHz")</f>
        <v>2.25 GHz</v>
      </c>
      <c r="H10" s="3" t="str">
        <f>IFERROR(__xludf.DUMMYFUNCTION("""COMPUTED_VALUE"""),"3.5 GHz")</f>
        <v>3.5 GHz</v>
      </c>
      <c r="I10" s="4">
        <f>IFERROR(__xludf.DUMMYFUNCTION("""COMPUTED_VALUE"""),1.8824E7)</f>
        <v>18824000</v>
      </c>
      <c r="J10" s="3" t="str">
        <f>IFERROR(__xludf.DUMMYFUNCTION("""COMPUTED_VALUE"""),"1 year")</f>
        <v>1 year</v>
      </c>
    </row>
    <row r="11">
      <c r="A11" s="3">
        <f>IFERROR(__xludf.DUMMYFUNCTION("""COMPUTED_VALUE"""),10.0)</f>
        <v>10</v>
      </c>
      <c r="B11" s="3" t="str">
        <f>IFERROR(__xludf.DUMMYFUNCTION("""COMPUTED_VALUE"""),"CPU")</f>
        <v>CPU</v>
      </c>
      <c r="C11" s="3" t="str">
        <f>IFERROR(__xludf.DUMMYFUNCTION("""COMPUTED_VALUE"""),"Zen 3")</f>
        <v>Zen 3</v>
      </c>
      <c r="D11" s="3" t="str">
        <f>IFERROR(__xludf.DUMMYFUNCTION("""COMPUTED_VALUE"""),"Epyc 7V13")</f>
        <v>Epyc 7V13</v>
      </c>
      <c r="E11" s="3" t="str">
        <f>IFERROR(__xludf.DUMMYFUNCTION("""COMPUTED_VALUE"""),"64C / 128T")</f>
        <v>64C / 128T</v>
      </c>
      <c r="F11" s="3" t="str">
        <f>IFERROR(__xludf.DUMMYFUNCTION("""COMPUTED_VALUE"""),"256 MB")</f>
        <v>256 MB</v>
      </c>
      <c r="G11" s="3" t="str">
        <f>IFERROR(__xludf.DUMMYFUNCTION("""COMPUTED_VALUE"""),"2.45 GHz")</f>
        <v>2.45 GHz</v>
      </c>
      <c r="H11" s="3" t="str">
        <f>IFERROR(__xludf.DUMMYFUNCTION("""COMPUTED_VALUE"""),"3.5 GHz")</f>
        <v>3.5 GHz</v>
      </c>
      <c r="I11" s="4">
        <f>IFERROR(__xludf.DUMMYFUNCTION("""COMPUTED_VALUE"""),1.976E7)</f>
        <v>19760000</v>
      </c>
      <c r="J11" s="3" t="str">
        <f>IFERROR(__xludf.DUMMYFUNCTION("""COMPUTED_VALUE"""),"1 year")</f>
        <v>1 year</v>
      </c>
    </row>
    <row r="12">
      <c r="A12" s="3">
        <f>IFERROR(__xludf.DUMMYFUNCTION("""COMPUTED_VALUE"""),11.0)</f>
        <v>11</v>
      </c>
      <c r="B12" s="3" t="str">
        <f>IFERROR(__xludf.DUMMYFUNCTION("""COMPUTED_VALUE"""),"CPU")</f>
        <v>CPU</v>
      </c>
      <c r="C12" s="3" t="str">
        <f>IFERROR(__xludf.DUMMYFUNCTION("""COMPUTED_VALUE"""),"Zen 3")</f>
        <v>Zen 3</v>
      </c>
      <c r="D12" s="3" t="str">
        <f>IFERROR(__xludf.DUMMYFUNCTION("""COMPUTED_VALUE"""),"Epyc 7V73X")</f>
        <v>Epyc 7V73X</v>
      </c>
      <c r="E12" s="3" t="str">
        <f>IFERROR(__xludf.DUMMYFUNCTION("""COMPUTED_VALUE"""),"64C / 128T")</f>
        <v>64C / 128T</v>
      </c>
      <c r="F12" s="3" t="str">
        <f>IFERROR(__xludf.DUMMYFUNCTION("""COMPUTED_VALUE"""),"768 MB")</f>
        <v>768 MB</v>
      </c>
      <c r="G12" s="3" t="str">
        <f>IFERROR(__xludf.DUMMYFUNCTION("""COMPUTED_VALUE"""),"2.2 GHz")</f>
        <v>2.2 GHz</v>
      </c>
      <c r="H12" s="3" t="str">
        <f>IFERROR(__xludf.DUMMYFUNCTION("""COMPUTED_VALUE"""),"3.5 GHz")</f>
        <v>3.5 GHz</v>
      </c>
      <c r="I12" s="4">
        <f>IFERROR(__xludf.DUMMYFUNCTION("""COMPUTED_VALUE"""),3.9E7)</f>
        <v>39000000</v>
      </c>
      <c r="J12" s="3" t="str">
        <f>IFERROR(__xludf.DUMMYFUNCTION("""COMPUTED_VALUE"""),"1 year")</f>
        <v>1 year</v>
      </c>
    </row>
    <row r="13">
      <c r="A13" s="3">
        <f>IFERROR(__xludf.DUMMYFUNCTION("""COMPUTED_VALUE"""),12.0)</f>
        <v>12</v>
      </c>
      <c r="B13" s="3" t="str">
        <f>IFERROR(__xludf.DUMMYFUNCTION("""COMPUTED_VALUE"""),"Mainboard")</f>
        <v>Mainboard</v>
      </c>
      <c r="C13" s="3" t="str">
        <f>IFERROR(__xludf.DUMMYFUNCTION("""COMPUTED_VALUE"""),"Gigabyte")</f>
        <v>Gigabyte</v>
      </c>
      <c r="D13" s="3" t="str">
        <f>IFERROR(__xludf.DUMMYFUNCTION("""COMPUTED_VALUE"""),"MZ71-CE1 2P")</f>
        <v>MZ71-CE1 2P</v>
      </c>
      <c r="E13" s="3" t="str">
        <f>IFERROR(__xludf.DUMMYFUNCTION("""COMPUTED_VALUE"""),"Dual CPU")</f>
        <v>Dual CPU</v>
      </c>
      <c r="F13" s="3"/>
      <c r="G13" s="3"/>
      <c r="H13" s="3"/>
      <c r="I13" s="4">
        <f>IFERROR(__xludf.DUMMYFUNCTION("""COMPUTED_VALUE"""),2.1944E7)</f>
        <v>21944000</v>
      </c>
      <c r="J13" s="3" t="str">
        <f>IFERROR(__xludf.DUMMYFUNCTION("""COMPUTED_VALUE"""),"1 year")</f>
        <v>1 year</v>
      </c>
    </row>
    <row r="14">
      <c r="A14" s="3">
        <f>IFERROR(__xludf.DUMMYFUNCTION("""COMPUTED_VALUE"""),13.0)</f>
        <v>13</v>
      </c>
      <c r="B14" s="3" t="str">
        <f>IFERROR(__xludf.DUMMYFUNCTION("""COMPUTED_VALUE"""),"Mainboard")</f>
        <v>Mainboard</v>
      </c>
      <c r="C14" s="3" t="str">
        <f>IFERROR(__xludf.DUMMYFUNCTION("""COMPUTED_VALUE"""),"Huananzhi")</f>
        <v>Huananzhi</v>
      </c>
      <c r="D14" s="3" t="str">
        <f>IFERROR(__xludf.DUMMYFUNCTION("""COMPUTED_VALUE"""),"H12D-8D 1P")</f>
        <v>H12D-8D 1P</v>
      </c>
      <c r="E14" s="3" t="str">
        <f>IFERROR(__xludf.DUMMYFUNCTION("""COMPUTED_VALUE"""),"Single CPU")</f>
        <v>Single CPU</v>
      </c>
      <c r="F14" s="3" t="str">
        <f>IFERROR(__xludf.DUMMYFUNCTION("""COMPUTED_VALUE"""),"4 khe 4.0x16")</f>
        <v>4 khe 4.0x16</v>
      </c>
      <c r="G14" s="3"/>
      <c r="H14" s="3"/>
      <c r="I14" s="4">
        <f>IFERROR(__xludf.DUMMYFUNCTION("""COMPUTED_VALUE"""),1.17104E7)</f>
        <v>11710400</v>
      </c>
      <c r="J14" s="3" t="str">
        <f>IFERROR(__xludf.DUMMYFUNCTION("""COMPUTED_VALUE"""),"1 year")</f>
        <v>1 year</v>
      </c>
    </row>
    <row r="15">
      <c r="A15" s="3">
        <f>IFERROR(__xludf.DUMMYFUNCTION("""COMPUTED_VALUE"""),14.0)</f>
        <v>14</v>
      </c>
      <c r="B15" s="3" t="str">
        <f>IFERROR(__xludf.DUMMYFUNCTION("""COMPUTED_VALUE"""),"Mainboard")</f>
        <v>Mainboard</v>
      </c>
      <c r="C15" s="3" t="str">
        <f>IFERROR(__xludf.DUMMYFUNCTION("""COMPUTED_VALUE"""),"Huananzhi")</f>
        <v>Huananzhi</v>
      </c>
      <c r="D15" s="3" t="str">
        <f>IFERROR(__xludf.DUMMYFUNCTION("""COMPUTED_VALUE"""),"H12D-8D 1P BMC")</f>
        <v>H12D-8D 1P BMC</v>
      </c>
      <c r="E15" s="3" t="str">
        <f>IFERROR(__xludf.DUMMYFUNCTION("""COMPUTED_VALUE"""),"Single CPU")</f>
        <v>Single CPU</v>
      </c>
      <c r="F15" s="3" t="str">
        <f>IFERROR(__xludf.DUMMYFUNCTION("""COMPUTED_VALUE"""),"4 khe 4.0x16")</f>
        <v>4 khe 4.0x16</v>
      </c>
      <c r="G15" s="3"/>
      <c r="H15" s="3"/>
      <c r="I15" s="4">
        <f>IFERROR(__xludf.DUMMYFUNCTION("""COMPUTED_VALUE"""),1.27504E7)</f>
        <v>12750400</v>
      </c>
      <c r="J15" s="3" t="str">
        <f>IFERROR(__xludf.DUMMYFUNCTION("""COMPUTED_VALUE"""),"1 year")</f>
        <v>1 year</v>
      </c>
    </row>
    <row r="16">
      <c r="A16" s="3">
        <f>IFERROR(__xludf.DUMMYFUNCTION("""COMPUTED_VALUE"""),15.0)</f>
        <v>15</v>
      </c>
      <c r="B16" s="3" t="str">
        <f>IFERROR(__xludf.DUMMYFUNCTION("""COMPUTED_VALUE"""),"GPU")</f>
        <v>GPU</v>
      </c>
      <c r="C16" s="3" t="str">
        <f>IFERROR(__xludf.DUMMYFUNCTION("""COMPUTED_VALUE"""),"NVIDIA")</f>
        <v>NVIDIA</v>
      </c>
      <c r="D16" s="3" t="str">
        <f>IFERROR(__xludf.DUMMYFUNCTION("""COMPUTED_VALUE"""),"Tesla A2")</f>
        <v>Tesla A2</v>
      </c>
      <c r="E16" s="3" t="str">
        <f>IFERROR(__xludf.DUMMYFUNCTION("""COMPUTED_VALUE"""),"Ampere")</f>
        <v>Ampere</v>
      </c>
      <c r="F16" s="3" t="str">
        <f>IFERROR(__xludf.DUMMYFUNCTION("""COMPUTED_VALUE"""),"16GB")</f>
        <v>16GB</v>
      </c>
      <c r="G16" s="3"/>
      <c r="H16" s="3"/>
      <c r="I16" s="4">
        <f>IFERROR(__xludf.DUMMYFUNCTION("""COMPUTED_VALUE"""),1.144E7)</f>
        <v>11440000</v>
      </c>
      <c r="J16" s="3" t="str">
        <f>IFERROR(__xludf.DUMMYFUNCTION("""COMPUTED_VALUE"""),"1 year")</f>
        <v>1 year</v>
      </c>
    </row>
    <row r="17">
      <c r="A17" s="3">
        <f>IFERROR(__xludf.DUMMYFUNCTION("""COMPUTED_VALUE"""),16.0)</f>
        <v>16</v>
      </c>
      <c r="B17" s="3" t="str">
        <f>IFERROR(__xludf.DUMMYFUNCTION("""COMPUTED_VALUE"""),"Cooler")</f>
        <v>Cooler</v>
      </c>
      <c r="C17" s="3" t="str">
        <f>IFERROR(__xludf.DUMMYFUNCTION("""COMPUTED_VALUE"""),"AIO")</f>
        <v>AIO</v>
      </c>
      <c r="D17" s="3" t="str">
        <f>IFERROR(__xludf.DUMMYFUNCTION("""COMPUTED_VALUE"""),"AIO 360 1P")</f>
        <v>AIO 360 1P</v>
      </c>
      <c r="E17" s="3" t="str">
        <f>IFERROR(__xludf.DUMMYFUNCTION("""COMPUTED_VALUE"""),"1000W")</f>
        <v>1000W</v>
      </c>
      <c r="F17" s="3"/>
      <c r="G17" s="3"/>
      <c r="H17" s="3"/>
      <c r="I17" s="4">
        <f>IFERROR(__xludf.DUMMYFUNCTION("""COMPUTED_VALUE"""),4420000.0)</f>
        <v>4420000</v>
      </c>
      <c r="J17" s="3" t="str">
        <f>IFERROR(__xludf.DUMMYFUNCTION("""COMPUTED_VALUE"""),"1 year")</f>
        <v>1 year</v>
      </c>
    </row>
    <row r="18">
      <c r="A18" s="3">
        <f>IFERROR(__xludf.DUMMYFUNCTION("""COMPUTED_VALUE"""),17.0)</f>
        <v>17</v>
      </c>
      <c r="B18" s="3" t="str">
        <f>IFERROR(__xludf.DUMMYFUNCTION("""COMPUTED_VALUE"""),"Cooler")</f>
        <v>Cooler</v>
      </c>
      <c r="C18" s="3" t="str">
        <f>IFERROR(__xludf.DUMMYFUNCTION("""COMPUTED_VALUE"""),"AIO")</f>
        <v>AIO</v>
      </c>
      <c r="D18" s="3" t="str">
        <f>IFERROR(__xludf.DUMMYFUNCTION("""COMPUTED_VALUE"""),"AIO 360 2P")</f>
        <v>AIO 360 2P</v>
      </c>
      <c r="E18" s="3" t="str">
        <f>IFERROR(__xludf.DUMMYFUNCTION("""COMPUTED_VALUE"""),"1000W")</f>
        <v>1000W</v>
      </c>
      <c r="F18" s="3"/>
      <c r="G18" s="3"/>
      <c r="H18" s="3"/>
      <c r="I18" s="4">
        <f>IFERROR(__xludf.DUMMYFUNCTION("""COMPUTED_VALUE"""),6760000.0)</f>
        <v>6760000</v>
      </c>
      <c r="J18" s="3" t="str">
        <f>IFERROR(__xludf.DUMMYFUNCTION("""COMPUTED_VALUE"""),"1 year")</f>
        <v>1 year</v>
      </c>
    </row>
    <row r="19">
      <c r="A19" s="3">
        <f>IFERROR(__xludf.DUMMYFUNCTION("""COMPUTED_VALUE"""),18.0)</f>
        <v>18</v>
      </c>
      <c r="B19" s="3" t="str">
        <f>IFERROR(__xludf.DUMMYFUNCTION("""COMPUTED_VALUE"""),"Cooler")</f>
        <v>Cooler</v>
      </c>
      <c r="C19" s="3" t="str">
        <f>IFERROR(__xludf.DUMMYFUNCTION("""COMPUTED_VALUE"""),"Air")</f>
        <v>Air</v>
      </c>
      <c r="D19" s="3" t="str">
        <f>IFERROR(__xludf.DUMMYFUNCTION("""COMPUTED_VALUE"""),"M99")</f>
        <v>M99</v>
      </c>
      <c r="E19" s="3" t="str">
        <f>IFERROR(__xludf.DUMMYFUNCTION("""COMPUTED_VALUE"""),"450W")</f>
        <v>450W</v>
      </c>
      <c r="F19" s="3"/>
      <c r="G19" s="3"/>
      <c r="H19" s="3"/>
      <c r="I19" s="4">
        <f>IFERROR(__xludf.DUMMYFUNCTION("""COMPUTED_VALUE"""),2184000.0)</f>
        <v>2184000</v>
      </c>
      <c r="J19" s="3" t="str">
        <f>IFERROR(__xludf.DUMMYFUNCTION("""COMPUTED_VALUE"""),"1 year")</f>
        <v>1 year</v>
      </c>
    </row>
    <row r="20">
      <c r="A20" s="3">
        <f>IFERROR(__xludf.DUMMYFUNCTION("""COMPUTED_VALUE"""),19.0)</f>
        <v>19</v>
      </c>
      <c r="B20" s="3" t="str">
        <f>IFERROR(__xludf.DUMMYFUNCTION("""COMPUTED_VALUE"""),"Cooler")</f>
        <v>Cooler</v>
      </c>
      <c r="C20" s="3" t="str">
        <f>IFERROR(__xludf.DUMMYFUNCTION("""COMPUTED_VALUE"""),"Air")</f>
        <v>Air</v>
      </c>
      <c r="D20" s="3" t="str">
        <f>IFERROR(__xludf.DUMMYFUNCTION("""COMPUTED_VALUE"""),"M95 Pro")</f>
        <v>M95 Pro</v>
      </c>
      <c r="E20" s="3" t="str">
        <f>IFERROR(__xludf.DUMMYFUNCTION("""COMPUTED_VALUE"""),"380W")</f>
        <v>380W</v>
      </c>
      <c r="F20" s="3"/>
      <c r="G20" s="3"/>
      <c r="H20" s="3"/>
      <c r="I20" s="4">
        <f>IFERROR(__xludf.DUMMYFUNCTION("""COMPUTED_VALUE"""),1040000.0)</f>
        <v>1040000</v>
      </c>
      <c r="J20" s="3" t="str">
        <f>IFERROR(__xludf.DUMMYFUNCTION("""COMPUTED_VALUE"""),"1 year")</f>
        <v>1 year</v>
      </c>
    </row>
    <row r="21">
      <c r="A21" s="3">
        <f>IFERROR(__xludf.DUMMYFUNCTION("""COMPUTED_VALUE"""),20.0)</f>
        <v>20</v>
      </c>
      <c r="B21" s="3" t="str">
        <f>IFERROR(__xludf.DUMMYFUNCTION("""COMPUTED_VALUE"""),"Cooler")</f>
        <v>Cooler</v>
      </c>
      <c r="C21" s="3" t="str">
        <f>IFERROR(__xludf.DUMMYFUNCTION("""COMPUTED_VALUE"""),"Air")</f>
        <v>Air</v>
      </c>
      <c r="D21" s="3" t="str">
        <f>IFERROR(__xludf.DUMMYFUNCTION("""COMPUTED_VALUE"""),"M97")</f>
        <v>M97</v>
      </c>
      <c r="E21" s="3" t="str">
        <f>IFERROR(__xludf.DUMMYFUNCTION("""COMPUTED_VALUE"""),"380W")</f>
        <v>380W</v>
      </c>
      <c r="F21" s="3"/>
      <c r="G21" s="3"/>
      <c r="H21" s="3"/>
      <c r="I21" s="4">
        <f>IFERROR(__xludf.DUMMYFUNCTION("""COMPUTED_VALUE"""),1560000.0)</f>
        <v>1560000</v>
      </c>
      <c r="J21" s="3" t="str">
        <f>IFERROR(__xludf.DUMMYFUNCTION("""COMPUTED_VALUE"""),"1 year")</f>
        <v>1 year</v>
      </c>
    </row>
    <row r="22">
      <c r="A22" s="5"/>
      <c r="B22" s="5"/>
      <c r="C22" s="5"/>
      <c r="D22" s="5"/>
      <c r="E22" s="5"/>
      <c r="F22" s="5"/>
      <c r="G22" s="5"/>
      <c r="H22" s="5"/>
      <c r="I22" s="5"/>
      <c r="J22" s="5"/>
    </row>
    <row r="23">
      <c r="A23" s="5"/>
      <c r="B23" s="5"/>
      <c r="C23" s="5"/>
      <c r="D23" s="5"/>
      <c r="E23" s="5"/>
      <c r="F23" s="5"/>
      <c r="G23" s="5"/>
      <c r="H23" s="5"/>
      <c r="I23" s="5"/>
      <c r="J23" s="5"/>
    </row>
    <row r="24">
      <c r="A24" s="5"/>
      <c r="B24" s="5"/>
      <c r="C24" s="5"/>
      <c r="D24" s="5"/>
      <c r="E24" s="5"/>
      <c r="F24" s="5"/>
      <c r="G24" s="5"/>
      <c r="H24" s="5"/>
      <c r="I24" s="5"/>
      <c r="J24" s="5"/>
    </row>
    <row r="25">
      <c r="A25" s="5"/>
      <c r="B25" s="5"/>
      <c r="C25" s="5"/>
      <c r="D25" s="5"/>
      <c r="E25" s="5"/>
      <c r="F25" s="5"/>
      <c r="G25" s="5"/>
      <c r="H25" s="5"/>
      <c r="I25" s="5"/>
      <c r="J25" s="5"/>
    </row>
    <row r="26">
      <c r="A26" s="5"/>
      <c r="B26" s="5"/>
      <c r="C26" s="5"/>
      <c r="D26" s="5"/>
      <c r="E26" s="5"/>
      <c r="F26" s="5"/>
      <c r="G26" s="5"/>
      <c r="H26" s="5"/>
      <c r="I26" s="5"/>
      <c r="J26" s="5"/>
    </row>
    <row r="27">
      <c r="A27" s="5"/>
      <c r="B27" s="5"/>
      <c r="C27" s="5"/>
      <c r="D27" s="5"/>
      <c r="E27" s="5"/>
      <c r="F27" s="5"/>
      <c r="G27" s="5"/>
      <c r="H27" s="5"/>
      <c r="I27" s="5"/>
      <c r="J27" s="5"/>
    </row>
    <row r="28">
      <c r="A28" s="5"/>
      <c r="B28" s="5"/>
      <c r="C28" s="5"/>
      <c r="D28" s="5"/>
      <c r="E28" s="5"/>
      <c r="F28" s="5"/>
      <c r="G28" s="5"/>
      <c r="H28" s="5"/>
      <c r="I28" s="5"/>
      <c r="J28" s="5"/>
    </row>
    <row r="29">
      <c r="A29" s="5"/>
      <c r="B29" s="5"/>
      <c r="C29" s="5"/>
      <c r="D29" s="5"/>
      <c r="E29" s="5"/>
      <c r="F29" s="5"/>
      <c r="G29" s="5"/>
      <c r="H29" s="5"/>
      <c r="I29" s="5"/>
      <c r="J29" s="5"/>
    </row>
    <row r="30">
      <c r="A30" s="5"/>
      <c r="B30" s="5"/>
      <c r="C30" s="5"/>
      <c r="D30" s="5"/>
      <c r="E30" s="5"/>
      <c r="F30" s="5"/>
      <c r="G30" s="5"/>
      <c r="H30" s="5"/>
      <c r="I30" s="5"/>
      <c r="J30" s="5"/>
    </row>
  </sheetData>
  <drawing r:id="rId1"/>
</worksheet>
</file>